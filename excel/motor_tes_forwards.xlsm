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2" codeName="{F3310B89-0DAA-6C43-5919-0D5897632BE8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arlos_suarez7/Desktop/"/>
    </mc:Choice>
  </mc:AlternateContent>
  <xr:revisionPtr revIDLastSave="0" documentId="8_{F0C39416-9089-5E4F-AD12-B5602F0B66F1}" xr6:coauthVersionLast="47" xr6:coauthVersionMax="47" xr10:uidLastSave="{00000000-0000-0000-0000-000000000000}"/>
  <bookViews>
    <workbookView xWindow="0" yWindow="660" windowWidth="29400" windowHeight="18460" xr2:uid="{00000000-000D-0000-FFFF-FFFF00000000}"/>
  </bookViews>
  <sheets>
    <sheet name="Parametros" sheetId="1" r:id="rId1"/>
    <sheet name="Nodos" sheetId="2" r:id="rId2"/>
    <sheet name="Curva" sheetId="3" r:id="rId3"/>
    <sheet name="Forwards" sheetId="4" r:id="rId4"/>
    <sheet name="Validacion" sheetId="5" r:id="rId5"/>
  </sheets>
  <functionGroups builtInGroupCount="19"/>
  <definedNames>
    <definedName name="CURVA_FECHA">Parametros!$B$15</definedName>
    <definedName name="NSS_PARAMS">Parametros!$B$5:$B$10</definedName>
    <definedName name="SOFR_ACTUAL">Parametros!$B$14</definedName>
    <definedName name="TRM_SPOT">Parametros!$B$13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8" i="5" l="1"/>
  <c r="D18" i="5" s="1"/>
  <c r="C17" i="5"/>
  <c r="D17" i="5" s="1"/>
  <c r="C16" i="5"/>
  <c r="D16" i="5" s="1"/>
  <c r="C15" i="5"/>
  <c r="D15" i="5" s="1"/>
  <c r="C14" i="5"/>
  <c r="D14" i="5" s="1"/>
  <c r="C13" i="5"/>
  <c r="D13" i="5" s="1"/>
  <c r="C12" i="5"/>
  <c r="D12" i="5" s="1"/>
  <c r="C11" i="5"/>
  <c r="D11" i="5" s="1"/>
  <c r="C10" i="5"/>
  <c r="D10" i="5" s="1"/>
  <c r="C9" i="5"/>
  <c r="D9" i="5" s="1"/>
  <c r="C8" i="5"/>
  <c r="D8" i="5" s="1"/>
  <c r="C7" i="5"/>
  <c r="D7" i="5" s="1"/>
  <c r="C6" i="5"/>
  <c r="D6" i="5" s="1"/>
  <c r="C5" i="5"/>
  <c r="D5" i="5" s="1"/>
</calcChain>
</file>

<file path=xl/sharedStrings.xml><?xml version="1.0" encoding="utf-8"?>
<sst xmlns="http://schemas.openxmlformats.org/spreadsheetml/2006/main" count="89" uniqueCount="84">
  <si>
    <t>Motor de Valoración — curva COP calibrada</t>
  </si>
  <si>
    <t>Calibrado en Python contra datos del Banco de la República. Las UDFs de VBA leen estos valores.</t>
  </si>
  <si>
    <t>Parámetros Nelson-Siegel-Svensson</t>
  </si>
  <si>
    <t>beta0</t>
  </si>
  <si>
    <t>Nivel de largo plazo</t>
  </si>
  <si>
    <t>beta1</t>
  </si>
  <si>
    <t>Pendiente (beta0+beta1 = tasa instantánea)</t>
  </si>
  <si>
    <t>beta2</t>
  </si>
  <si>
    <t>Primera curvatura</t>
  </si>
  <si>
    <t>beta3</t>
  </si>
  <si>
    <t>Segunda curvatura (0 en Nelson-Siegel puro)</t>
  </si>
  <si>
    <t>lambda1</t>
  </si>
  <si>
    <t>Escala temporal 1, en años</t>
  </si>
  <si>
    <t>lambda2</t>
  </si>
  <si>
    <t>Escala temporal 2, en años</t>
  </si>
  <si>
    <t>Mercado</t>
  </si>
  <si>
    <t>TRM spot (COP/USD)</t>
  </si>
  <si>
    <t>SOFR (decimal, simple ACT/360)</t>
  </si>
  <si>
    <t>Fecha de la curva</t>
  </si>
  <si>
    <t>2026-08-19</t>
  </si>
  <si>
    <t>Diagnóstico de la calibración</t>
  </si>
  <si>
    <t>Modelo</t>
  </si>
  <si>
    <t>Nelson-Siegel (4p)</t>
  </si>
  <si>
    <t>Nodos</t>
  </si>
  <si>
    <t>Grados de libertad</t>
  </si>
  <si>
    <t>RMSE (bps)</t>
  </si>
  <si>
    <t>Max |residual| (bps)</t>
  </si>
  <si>
    <t>Convergió</t>
  </si>
  <si>
    <t>Sí</t>
  </si>
  <si>
    <t>plazo_anios</t>
  </si>
  <si>
    <t>fuente</t>
  </si>
  <si>
    <t>tasa_mercado</t>
  </si>
  <si>
    <t>tasa_ajustada</t>
  </si>
  <si>
    <t>residual_bps</t>
  </si>
  <si>
    <t>IBR</t>
  </si>
  <si>
    <t>TES</t>
  </si>
  <si>
    <t>tasa_cero_cupon</t>
  </si>
  <si>
    <t>factor_descuento</t>
  </si>
  <si>
    <t>forward_instantanea</t>
  </si>
  <si>
    <t>plazo_dias</t>
  </si>
  <si>
    <t>tasa_cop</t>
  </si>
  <si>
    <t>forward</t>
  </si>
  <si>
    <t>puntos_forward</t>
  </si>
  <si>
    <t>devaluacion_ea</t>
  </si>
  <si>
    <t>delta_spot</t>
  </si>
  <si>
    <t>dv01_cop</t>
  </si>
  <si>
    <t>dv01_usd</t>
  </si>
  <si>
    <t>theta_dia</t>
  </si>
  <si>
    <t>brecha_convenciones_bps</t>
  </si>
  <si>
    <t>Paridad Python ↔ VBA</t>
  </si>
  <si>
    <t>La columna 'resultado_vba' se evalúa en Excel al abrir el libro. Debe coincidir con 'valor_python'; 'diferencia' lo cuantifica.</t>
  </si>
  <si>
    <t>concepto</t>
  </si>
  <si>
    <t>valor_python</t>
  </si>
  <si>
    <t>resultado_vba</t>
  </si>
  <si>
    <t>diferencia</t>
  </si>
  <si>
    <t>formula_vba</t>
  </si>
  <si>
    <t>Tasa cero cupón a 1 año</t>
  </si>
  <si>
    <t>'=TASA_CERO_CUPON(1,NSS_PARAMS)</t>
  </si>
  <si>
    <t>Tasa cero cupón a 5 años</t>
  </si>
  <si>
    <t>'=TASA_CERO_CUPON(5,NSS_PARAMS)</t>
  </si>
  <si>
    <t>Tasa cero cupón a 10 años</t>
  </si>
  <si>
    <t>'=TASA_CERO_CUPON(10,NSS_PARAMS)</t>
  </si>
  <si>
    <t>Factor de descuento a 5 años</t>
  </si>
  <si>
    <t>'=FACTOR_DESCUENTO(5,NSS_PARAMS)</t>
  </si>
  <si>
    <t>Forward 1a-5a</t>
  </si>
  <si>
    <t>'=TASA_FORWARD(1,5,NSS_PARAMS)</t>
  </si>
  <si>
    <t>VP bono 13.25% 7a</t>
  </si>
  <si>
    <t>'=VP_TES(0.1325,7,1,100,NSS_PARAMS)</t>
  </si>
  <si>
    <t>DV01 bono 13.25% 7a</t>
  </si>
  <si>
    <t>'=DV01_TES(0.1325,7,1,100,NSS_PARAMS)</t>
  </si>
  <si>
    <t>Duración mod. bono 13.25%</t>
  </si>
  <si>
    <t>'=DURACION_MOD_TES(0.1325,7,1,100,NSS_PARAMS)</t>
  </si>
  <si>
    <t>Forward USD/COP 90d</t>
  </si>
  <si>
    <t>'=FORWARD_USDCOP(TRM_SPOT,90,SOFR_ACTUAL,,NSS_PARAMS)</t>
  </si>
  <si>
    <t>DV01 COP forward 90d</t>
  </si>
  <si>
    <t>'=DV01_COP_FWD(TRM_SPOT,90,SOFR_ACTUAL,,NSS_PARAMS)</t>
  </si>
  <si>
    <t>Forward USD/COP 180d</t>
  </si>
  <si>
    <t>'=FORWARD_USDCOP(TRM_SPOT,180,SOFR_ACTUAL,,NSS_PARAMS)</t>
  </si>
  <si>
    <t>DV01 COP forward 180d</t>
  </si>
  <si>
    <t>'=DV01_COP_FWD(TRM_SPOT,180,SOFR_ACTUAL,,NSS_PARAMS)</t>
  </si>
  <si>
    <t>Forward USD/COP 360d</t>
  </si>
  <si>
    <t>'=FORWARD_USDCOP(TRM_SPOT,360,SOFR_ACTUAL,,NSS_PARAMS)</t>
  </si>
  <si>
    <t>DV01 COP forward 360d</t>
  </si>
  <si>
    <t>'=DV01_COP_FWD(TRM_SPOT,360,SOFR_ACTUAL,,NSS_PARAMS)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</si>
</sst>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00"/>
    <numFmt numFmtId="165" formatCode="0.0000%"/>
  </numFmts>
  <fonts count="4" x14ac:knownFonts="1">
    <font>
      <sz val="11"/>
      <color theme="1"/>
      <name val="Calibri"/>
      <family val="2"/>
      <scheme val="minor"/>
    </font>
    <font>
      <b/>
      <sz val="13"/>
      <name val="Calibri"/>
      <family val="2"/>
    </font>
    <font>
      <b/>
      <sz val="11"/>
      <name val="Calibri"/>
      <family val="2"/>
    </font>
    <font>
      <b/>
      <sz val="11"/>
      <color rgb="FFFFFFFF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1F3864"/>
      </patternFill>
    </fill>
  </fills>
  <borders count="2">
    <border>
      <left/>
      <right/>
      <top/>
      <bottom/>
      <diagonal/>
    </border>
    <border>
      <left/>
      <right/>
      <top/>
      <bottom style="thin">
        <color rgb="FFAAAAAA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/>
    <xf numFmtId="0" fontId="2" fillId="0" borderId="0" xfId="0" applyFont="1"/>
    <xf numFmtId="164" fontId="0" fillId="0" borderId="0" xfId="0" applyNumberFormat="1"/>
    <xf numFmtId="4" fontId="0" fillId="0" borderId="0" xfId="0" applyNumberFormat="1"/>
    <xf numFmtId="165" fontId="0" fillId="0" borderId="0" xfId="0" applyNumberFormat="1"/>
    <xf numFmtId="0" fontId="3" fillId="2" borderId="0" xfId="0" applyFont="1" applyFill="1" applyAlignment="1">
      <alignment horizontal="center"/>
    </xf>
    <xf numFmtId="0" fontId="3" fillId="2" borderId="0" xfId="0" applyFont="1" applyFill="1"/>
    <xf numFmtId="0" fontId="0" fillId="0" borderId="1" xfId="0" applyBorder="1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23"/>
  <sheetViews>
    <sheetView tabSelected="1" workbookViewId="0">
      <selection activeCell="J11" sqref="J11"/>
    </sheetView>
  </sheetViews>
  <sheetFormatPr baseColWidth="10" defaultColWidth="8.83203125" defaultRowHeight="15" x14ac:dyDescent="0.2"/>
  <cols>
    <col min="1" max="1" width="34" customWidth="1"/>
    <col min="2" max="2" width="18" customWidth="1"/>
    <col min="3" max="3" width="46" customWidth="1"/>
  </cols>
  <sheetData>
    <row r="1" spans="1:3" ht="17" x14ac:dyDescent="0.2">
      <c r="A1" s="1" t="s">
        <v>0</v>
      </c>
    </row>
    <row r="2" spans="1:3" x14ac:dyDescent="0.2">
      <c r="A2" t="s">
        <v>1</v>
      </c>
    </row>
    <row r="4" spans="1:3" x14ac:dyDescent="0.2">
      <c r="A4" s="2" t="s">
        <v>2</v>
      </c>
    </row>
    <row r="5" spans="1:3" x14ac:dyDescent="0.2">
      <c r="A5" s="2" t="s">
        <v>3</v>
      </c>
      <c r="B5" s="3">
        <v>0.1212784920810467</v>
      </c>
      <c r="C5" t="s">
        <v>4</v>
      </c>
    </row>
    <row r="6" spans="1:3" x14ac:dyDescent="0.2">
      <c r="A6" s="2" t="s">
        <v>5</v>
      </c>
      <c r="B6" s="3">
        <v>-1.6609874400995591E-3</v>
      </c>
      <c r="C6" t="s">
        <v>6</v>
      </c>
    </row>
    <row r="7" spans="1:3" x14ac:dyDescent="0.2">
      <c r="A7" s="2" t="s">
        <v>7</v>
      </c>
      <c r="B7" s="3">
        <v>1.3073515260072249E-2</v>
      </c>
      <c r="C7" t="s">
        <v>8</v>
      </c>
    </row>
    <row r="8" spans="1:3" x14ac:dyDescent="0.2">
      <c r="A8" s="2" t="s">
        <v>9</v>
      </c>
      <c r="B8" s="3">
        <v>0</v>
      </c>
      <c r="C8" t="s">
        <v>10</v>
      </c>
    </row>
    <row r="9" spans="1:3" x14ac:dyDescent="0.2">
      <c r="A9" s="2" t="s">
        <v>11</v>
      </c>
      <c r="B9" s="3">
        <v>0.84110995997692206</v>
      </c>
      <c r="C9" t="s">
        <v>12</v>
      </c>
    </row>
    <row r="10" spans="1:3" x14ac:dyDescent="0.2">
      <c r="A10" s="2" t="s">
        <v>13</v>
      </c>
      <c r="B10" s="3">
        <v>0.84110995997692206</v>
      </c>
      <c r="C10" t="s">
        <v>14</v>
      </c>
    </row>
    <row r="12" spans="1:3" x14ac:dyDescent="0.2">
      <c r="A12" s="2" t="s">
        <v>15</v>
      </c>
    </row>
    <row r="13" spans="1:3" x14ac:dyDescent="0.2">
      <c r="A13" t="s">
        <v>16</v>
      </c>
      <c r="B13" s="4">
        <v>3053.48</v>
      </c>
    </row>
    <row r="14" spans="1:3" x14ac:dyDescent="0.2">
      <c r="A14" t="s">
        <v>17</v>
      </c>
      <c r="B14" s="5">
        <v>3.6499999999999998E-2</v>
      </c>
    </row>
    <row r="15" spans="1:3" x14ac:dyDescent="0.2">
      <c r="A15" t="s">
        <v>18</v>
      </c>
      <c r="B15" t="s">
        <v>19</v>
      </c>
    </row>
    <row r="17" spans="1:2" x14ac:dyDescent="0.2">
      <c r="A17" s="2" t="s">
        <v>20</v>
      </c>
    </row>
    <row r="18" spans="1:2" x14ac:dyDescent="0.2">
      <c r="A18" t="s">
        <v>21</v>
      </c>
      <c r="B18" t="s">
        <v>22</v>
      </c>
    </row>
    <row r="19" spans="1:2" x14ac:dyDescent="0.2">
      <c r="A19" t="s">
        <v>23</v>
      </c>
      <c r="B19">
        <v>6</v>
      </c>
    </row>
    <row r="20" spans="1:2" x14ac:dyDescent="0.2">
      <c r="A20" t="s">
        <v>24</v>
      </c>
      <c r="B20">
        <v>2</v>
      </c>
    </row>
    <row r="21" spans="1:2" x14ac:dyDescent="0.2">
      <c r="A21" t="s">
        <v>25</v>
      </c>
      <c r="B21">
        <v>3.2450999999999999</v>
      </c>
    </row>
    <row r="22" spans="1:2" x14ac:dyDescent="0.2">
      <c r="A22" t="s">
        <v>26</v>
      </c>
      <c r="B22">
        <v>4.3852000000000002</v>
      </c>
    </row>
    <row r="23" spans="1:2" x14ac:dyDescent="0.2">
      <c r="A23" t="s">
        <v>27</v>
      </c>
      <c r="B23" t="s">
        <v>28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7"/>
  <sheetViews>
    <sheetView workbookViewId="0"/>
  </sheetViews>
  <sheetFormatPr baseColWidth="10" defaultColWidth="8.83203125" defaultRowHeight="15" x14ac:dyDescent="0.2"/>
  <cols>
    <col min="1" max="3" width="14" customWidth="1"/>
    <col min="4" max="4" width="15" customWidth="1"/>
    <col min="5" max="5" width="14" customWidth="1"/>
  </cols>
  <sheetData>
    <row r="1" spans="1:5" x14ac:dyDescent="0.2">
      <c r="A1" s="6" t="s">
        <v>29</v>
      </c>
      <c r="B1" s="6" t="s">
        <v>30</v>
      </c>
      <c r="C1" s="6" t="s">
        <v>31</v>
      </c>
      <c r="D1" s="6" t="s">
        <v>32</v>
      </c>
      <c r="E1" s="6" t="s">
        <v>33</v>
      </c>
    </row>
    <row r="2" spans="1:5" x14ac:dyDescent="0.2">
      <c r="A2">
        <v>2.7397300000000001E-3</v>
      </c>
      <c r="B2" t="s">
        <v>34</v>
      </c>
      <c r="C2">
        <v>0.12007539</v>
      </c>
      <c r="D2">
        <v>0.11964145</v>
      </c>
      <c r="E2">
        <v>-4.3393636600000001</v>
      </c>
    </row>
    <row r="3" spans="1:5" x14ac:dyDescent="0.2">
      <c r="A3">
        <v>8.2191780000000006E-2</v>
      </c>
      <c r="B3" t="s">
        <v>34</v>
      </c>
      <c r="C3">
        <v>0.12006926</v>
      </c>
      <c r="D3">
        <v>0.12029471</v>
      </c>
      <c r="E3">
        <v>2.25451998</v>
      </c>
    </row>
    <row r="4" spans="1:5" x14ac:dyDescent="0.2">
      <c r="A4">
        <v>0.24657534</v>
      </c>
      <c r="B4" t="s">
        <v>34</v>
      </c>
      <c r="C4">
        <v>0.12098022</v>
      </c>
      <c r="D4">
        <v>0.12141873</v>
      </c>
      <c r="E4">
        <v>4.3851776999999998</v>
      </c>
    </row>
    <row r="5" spans="1:5" x14ac:dyDescent="0.2">
      <c r="A5">
        <v>1</v>
      </c>
      <c r="B5" t="s">
        <v>35</v>
      </c>
      <c r="C5">
        <v>0.12429999999999999</v>
      </c>
      <c r="D5">
        <v>0.12397261</v>
      </c>
      <c r="E5">
        <v>-3.2739198599999999</v>
      </c>
    </row>
    <row r="6" spans="1:5" x14ac:dyDescent="0.2">
      <c r="A6">
        <v>5</v>
      </c>
      <c r="B6" t="s">
        <v>35</v>
      </c>
      <c r="C6">
        <v>0.1229</v>
      </c>
      <c r="D6">
        <v>0.12315905000000001</v>
      </c>
      <c r="E6">
        <v>2.5904549800000001</v>
      </c>
    </row>
    <row r="7" spans="1:5" x14ac:dyDescent="0.2">
      <c r="A7">
        <v>10</v>
      </c>
      <c r="B7" t="s">
        <v>35</v>
      </c>
      <c r="C7">
        <v>0.12239999999999999</v>
      </c>
      <c r="D7">
        <v>0.12223831</v>
      </c>
      <c r="E7">
        <v>-1.6168517899999999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17"/>
  <sheetViews>
    <sheetView workbookViewId="0"/>
  </sheetViews>
  <sheetFormatPr baseColWidth="10" defaultColWidth="8.83203125" defaultRowHeight="15" x14ac:dyDescent="0.2"/>
  <cols>
    <col min="1" max="1" width="14" customWidth="1"/>
    <col min="2" max="2" width="17" customWidth="1"/>
    <col min="3" max="3" width="18" customWidth="1"/>
    <col min="4" max="4" width="21" customWidth="1"/>
  </cols>
  <sheetData>
    <row r="1" spans="1:4" x14ac:dyDescent="0.2">
      <c r="A1" s="6" t="s">
        <v>29</v>
      </c>
      <c r="B1" s="6" t="s">
        <v>36</v>
      </c>
      <c r="C1" s="6" t="s">
        <v>37</v>
      </c>
      <c r="D1" s="6" t="s">
        <v>38</v>
      </c>
    </row>
    <row r="2" spans="1:4" x14ac:dyDescent="0.2">
      <c r="A2">
        <v>2.7397260000000001E-3</v>
      </c>
      <c r="B2">
        <v>0.1196414527</v>
      </c>
      <c r="C2">
        <v>0.99969043560000004</v>
      </c>
      <c r="D2">
        <v>0.119665352</v>
      </c>
    </row>
    <row r="3" spans="1:4" x14ac:dyDescent="0.2">
      <c r="A3">
        <v>8.3333333300000006E-2</v>
      </c>
      <c r="B3">
        <v>0.1203035387</v>
      </c>
      <c r="C3">
        <v>0.99057802880000001</v>
      </c>
      <c r="D3">
        <v>0.1209474509</v>
      </c>
    </row>
    <row r="4" spans="1:4" x14ac:dyDescent="0.2">
      <c r="A4">
        <v>0.25</v>
      </c>
      <c r="B4">
        <v>0.12143922679999999</v>
      </c>
      <c r="C4">
        <v>0.97175338960000002</v>
      </c>
      <c r="D4">
        <v>0.12293223909999999</v>
      </c>
    </row>
    <row r="5" spans="1:4" x14ac:dyDescent="0.2">
      <c r="A5">
        <v>0.5</v>
      </c>
      <c r="B5">
        <v>0.122667157</v>
      </c>
      <c r="C5">
        <v>0.94378808690000004</v>
      </c>
      <c r="D5">
        <v>0.1246524678</v>
      </c>
    </row>
    <row r="6" spans="1:4" x14ac:dyDescent="0.2">
      <c r="A6">
        <v>0.75</v>
      </c>
      <c r="B6">
        <v>0.1234705711</v>
      </c>
      <c r="C6">
        <v>0.91638658829999997</v>
      </c>
      <c r="D6">
        <v>0.12537829889999999</v>
      </c>
    </row>
    <row r="7" spans="1:4" x14ac:dyDescent="0.2">
      <c r="A7">
        <v>1</v>
      </c>
      <c r="B7">
        <v>0.123972608</v>
      </c>
      <c r="C7">
        <v>0.88970139739999998</v>
      </c>
      <c r="D7">
        <v>0.12550742040000001</v>
      </c>
    </row>
    <row r="8" spans="1:4" x14ac:dyDescent="0.2">
      <c r="A8">
        <v>1.5</v>
      </c>
      <c r="B8">
        <v>0.12440507419999999</v>
      </c>
      <c r="C8">
        <v>0.8387176932</v>
      </c>
      <c r="D8">
        <v>0.1249180195</v>
      </c>
    </row>
    <row r="9" spans="1:4" x14ac:dyDescent="0.2">
      <c r="A9">
        <v>2</v>
      </c>
      <c r="B9">
        <v>0.1244202948</v>
      </c>
      <c r="C9">
        <v>0.79093837759999996</v>
      </c>
      <c r="D9">
        <v>0.12400787069999999</v>
      </c>
    </row>
    <row r="10" spans="1:4" x14ac:dyDescent="0.2">
      <c r="A10">
        <v>3</v>
      </c>
      <c r="B10">
        <v>0.12401852789999999</v>
      </c>
      <c r="C10">
        <v>0.70417335820000004</v>
      </c>
      <c r="D10">
        <v>0.122549745</v>
      </c>
    </row>
    <row r="11" spans="1:4" x14ac:dyDescent="0.2">
      <c r="A11">
        <v>4</v>
      </c>
      <c r="B11">
        <v>0.1235451697</v>
      </c>
      <c r="C11">
        <v>0.62753485399999998</v>
      </c>
      <c r="D11">
        <v>0.1218004424</v>
      </c>
    </row>
    <row r="12" spans="1:4" x14ac:dyDescent="0.2">
      <c r="A12">
        <v>5</v>
      </c>
      <c r="B12">
        <v>0.12315904549999999</v>
      </c>
      <c r="C12">
        <v>0.55949177250000004</v>
      </c>
      <c r="D12">
        <v>0.1214790248</v>
      </c>
    </row>
    <row r="13" spans="1:4" x14ac:dyDescent="0.2">
      <c r="A13">
        <v>6</v>
      </c>
      <c r="B13">
        <v>0.1228666482</v>
      </c>
      <c r="C13">
        <v>0.49891999040000001</v>
      </c>
      <c r="D13">
        <v>0.1213526071</v>
      </c>
    </row>
    <row r="14" spans="1:4" x14ac:dyDescent="0.2">
      <c r="A14">
        <v>7</v>
      </c>
      <c r="B14">
        <v>0.1226462946</v>
      </c>
      <c r="C14">
        <v>0.44493786769999999</v>
      </c>
      <c r="D14">
        <v>0.1213053321</v>
      </c>
    </row>
    <row r="15" spans="1:4" x14ac:dyDescent="0.2">
      <c r="A15">
        <v>8</v>
      </c>
      <c r="B15">
        <v>0.12247733450000001</v>
      </c>
      <c r="C15">
        <v>0.39680702979999999</v>
      </c>
      <c r="D15">
        <v>0.1212882027</v>
      </c>
    </row>
    <row r="16" spans="1:4" x14ac:dyDescent="0.2">
      <c r="A16">
        <v>9</v>
      </c>
      <c r="B16">
        <v>0.1223447501</v>
      </c>
      <c r="C16">
        <v>0.35388608399999999</v>
      </c>
      <c r="D16">
        <v>0.1212821109</v>
      </c>
    </row>
    <row r="17" spans="1:4" x14ac:dyDescent="0.2">
      <c r="A17">
        <v>10</v>
      </c>
      <c r="B17">
        <v>0.1222383148</v>
      </c>
      <c r="C17">
        <v>0.31560878219999999</v>
      </c>
      <c r="D17">
        <v>0.12127995680000001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J9"/>
  <sheetViews>
    <sheetView workbookViewId="0"/>
  </sheetViews>
  <sheetFormatPr baseColWidth="10" defaultColWidth="8.83203125" defaultRowHeight="15" x14ac:dyDescent="0.2"/>
  <cols>
    <col min="1" max="3" width="14" customWidth="1"/>
    <col min="4" max="5" width="16" customWidth="1"/>
    <col min="6" max="9" width="14" customWidth="1"/>
    <col min="10" max="10" width="25" customWidth="1"/>
  </cols>
  <sheetData>
    <row r="1" spans="1:10" x14ac:dyDescent="0.2">
      <c r="A1" s="6" t="s">
        <v>39</v>
      </c>
      <c r="B1" s="6" t="s">
        <v>40</v>
      </c>
      <c r="C1" s="6" t="s">
        <v>41</v>
      </c>
      <c r="D1" s="6" t="s">
        <v>42</v>
      </c>
      <c r="E1" s="6" t="s">
        <v>43</v>
      </c>
      <c r="F1" s="6" t="s">
        <v>44</v>
      </c>
      <c r="G1" s="6" t="s">
        <v>45</v>
      </c>
      <c r="H1" s="6" t="s">
        <v>46</v>
      </c>
      <c r="I1" s="6" t="s">
        <v>47</v>
      </c>
      <c r="J1" s="6" t="s">
        <v>48</v>
      </c>
    </row>
    <row r="2" spans="1:10" x14ac:dyDescent="0.2">
      <c r="A2">
        <v>30</v>
      </c>
      <c r="B2">
        <v>0.12029471</v>
      </c>
      <c r="C2">
        <v>3072.7753773499999</v>
      </c>
      <c r="D2">
        <v>19.295377349999999</v>
      </c>
      <c r="E2">
        <v>7.9654420000000004E-2</v>
      </c>
      <c r="F2">
        <v>1.00631914</v>
      </c>
      <c r="G2">
        <v>2.2543790000000001E-2</v>
      </c>
      <c r="H2">
        <v>-2.5528809999999999E-2</v>
      </c>
      <c r="I2">
        <v>0.64567903999999998</v>
      </c>
      <c r="J2">
        <v>6.3853930500000002</v>
      </c>
    </row>
    <row r="3" spans="1:10" x14ac:dyDescent="0.2">
      <c r="A3">
        <v>60</v>
      </c>
      <c r="B3">
        <v>0.1208924</v>
      </c>
      <c r="C3">
        <v>3092.4922460600001</v>
      </c>
      <c r="D3">
        <v>39.012246060000003</v>
      </c>
      <c r="E3">
        <v>8.0290849999999997E-2</v>
      </c>
      <c r="F3">
        <v>1.01277632</v>
      </c>
      <c r="G3">
        <v>4.5352690000000001E-2</v>
      </c>
      <c r="H3">
        <v>-5.122989E-2</v>
      </c>
      <c r="I3">
        <v>0.65528615000000001</v>
      </c>
      <c r="J3">
        <v>11.888404619999999</v>
      </c>
    </row>
    <row r="4" spans="1:10" x14ac:dyDescent="0.2">
      <c r="A4">
        <v>90</v>
      </c>
      <c r="B4">
        <v>0.12141873</v>
      </c>
      <c r="C4">
        <v>3112.5879242300002</v>
      </c>
      <c r="D4">
        <v>59.107924230000002</v>
      </c>
      <c r="E4">
        <v>8.0858340000000001E-2</v>
      </c>
      <c r="F4">
        <v>1.01935756</v>
      </c>
      <c r="G4">
        <v>6.8438970000000002E-2</v>
      </c>
      <c r="H4">
        <v>-7.7111059999999995E-2</v>
      </c>
      <c r="I4">
        <v>0.66449318000000002</v>
      </c>
      <c r="J4">
        <v>16.482474</v>
      </c>
    </row>
    <row r="5" spans="1:10" x14ac:dyDescent="0.2">
      <c r="A5">
        <v>180</v>
      </c>
      <c r="B5">
        <v>0.12263983000000001</v>
      </c>
      <c r="C5">
        <v>3174.8029189099998</v>
      </c>
      <c r="D5">
        <v>121.32291891</v>
      </c>
      <c r="E5">
        <v>8.2214700000000002E-2</v>
      </c>
      <c r="F5">
        <v>1.03973267</v>
      </c>
      <c r="G5">
        <v>0.13946201999999999</v>
      </c>
      <c r="H5">
        <v>-0.15589506</v>
      </c>
      <c r="I5">
        <v>0.69009975999999995</v>
      </c>
      <c r="J5">
        <v>24.672720779999999</v>
      </c>
    </row>
    <row r="6" spans="1:10" x14ac:dyDescent="0.2">
      <c r="A6">
        <v>270</v>
      </c>
      <c r="B6">
        <v>0.12344421</v>
      </c>
      <c r="C6">
        <v>3239.3684888100001</v>
      </c>
      <c r="D6">
        <v>185.88848881000001</v>
      </c>
      <c r="E6">
        <v>8.3167569999999996E-2</v>
      </c>
      <c r="F6">
        <v>1.06087759</v>
      </c>
      <c r="G6">
        <v>0.21329454</v>
      </c>
      <c r="H6">
        <v>-0.23647902000000001</v>
      </c>
      <c r="I6">
        <v>0.71335577999999999</v>
      </c>
      <c r="J6">
        <v>24.442602000000001</v>
      </c>
    </row>
    <row r="7" spans="1:10" x14ac:dyDescent="0.2">
      <c r="A7">
        <v>360</v>
      </c>
      <c r="B7">
        <v>0.12395128</v>
      </c>
      <c r="C7">
        <v>3305.8115187799999</v>
      </c>
      <c r="D7">
        <v>252.33151878000001</v>
      </c>
      <c r="E7">
        <v>8.3831929999999999E-2</v>
      </c>
      <c r="F7">
        <v>1.0826373600000001</v>
      </c>
      <c r="G7">
        <v>0.29009499999999999</v>
      </c>
      <c r="H7">
        <v>-0.31893985000000002</v>
      </c>
      <c r="I7">
        <v>0.73494663999999998</v>
      </c>
      <c r="J7">
        <v>16.01972275</v>
      </c>
    </row>
    <row r="8" spans="1:10" x14ac:dyDescent="0.2">
      <c r="A8">
        <v>540</v>
      </c>
      <c r="B8">
        <v>0.12439770999999999</v>
      </c>
      <c r="C8">
        <v>3443.3341737599999</v>
      </c>
      <c r="D8">
        <v>389.85417375999998</v>
      </c>
      <c r="E8">
        <v>8.4607450000000001E-2</v>
      </c>
      <c r="F8">
        <v>1.12767537</v>
      </c>
      <c r="G8">
        <v>0.45306458999999999</v>
      </c>
      <c r="H8">
        <v>-0.48968961999999999</v>
      </c>
      <c r="I8">
        <v>0.77509485</v>
      </c>
      <c r="J8">
        <v>-23.70096182</v>
      </c>
    </row>
    <row r="9" spans="1:10" x14ac:dyDescent="0.2">
      <c r="A9">
        <v>720</v>
      </c>
      <c r="B9">
        <v>0.12442568</v>
      </c>
      <c r="C9">
        <v>3586.42295827</v>
      </c>
      <c r="D9">
        <v>532.94295826999996</v>
      </c>
      <c r="E9">
        <v>8.4971669999999999E-2</v>
      </c>
      <c r="F9">
        <v>1.1745362500000001</v>
      </c>
      <c r="G9">
        <v>0.62917343999999997</v>
      </c>
      <c r="H9">
        <v>-0.66848516999999996</v>
      </c>
      <c r="I9">
        <v>0.81341220999999997</v>
      </c>
      <c r="J9">
        <v>-90.662891079999994</v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E18"/>
  <sheetViews>
    <sheetView workbookViewId="0"/>
  </sheetViews>
  <sheetFormatPr baseColWidth="10" defaultColWidth="8.83203125" defaultRowHeight="15" x14ac:dyDescent="0.2"/>
  <cols>
    <col min="1" max="1" width="34" customWidth="1"/>
    <col min="2" max="3" width="18" customWidth="1"/>
    <col min="4" max="4" width="14" customWidth="1"/>
    <col min="5" max="5" width="52" customWidth="1"/>
  </cols>
  <sheetData>
    <row r="1" spans="1:5" ht="17" x14ac:dyDescent="0.2">
      <c r="A1" s="1" t="s">
        <v>49</v>
      </c>
    </row>
    <row r="2" spans="1:5" x14ac:dyDescent="0.2">
      <c r="A2" t="s">
        <v>50</v>
      </c>
    </row>
    <row r="4" spans="1:5" x14ac:dyDescent="0.2">
      <c r="A4" s="7" t="s">
        <v>51</v>
      </c>
      <c r="B4" s="7" t="s">
        <v>52</v>
      </c>
      <c r="C4" s="7" t="s">
        <v>53</v>
      </c>
      <c r="D4" s="7" t="s">
        <v>54</v>
      </c>
      <c r="E4" s="7" t="s">
        <v>55</v>
      </c>
    </row>
    <row r="5" spans="1:5" x14ac:dyDescent="0.2">
      <c r="A5" s="8" t="s">
        <v>56</v>
      </c>
      <c r="B5" s="3">
        <v>0.1239726080142141</v>
      </c>
      <c r="C5" s="3" t="e">
        <f ca="1">TASA_CERO_CUPON(1,NSS_PARAMS)</f>
        <v>#NAME?</v>
      </c>
      <c r="D5" s="9" t="e">
        <f t="shared" ref="D5:D18" ca="1" si="0">C5-B5</f>
        <v>#NAME?</v>
      </c>
      <c r="E5" t="s">
        <v>57</v>
      </c>
    </row>
    <row r="6" spans="1:5" x14ac:dyDescent="0.2">
      <c r="A6" s="8" t="s">
        <v>58</v>
      </c>
      <c r="B6" s="3">
        <v>0.1231590454983659</v>
      </c>
      <c r="C6" s="3" t="e">
        <f ca="1">TASA_CERO_CUPON(5,NSS_PARAMS)</f>
        <v>#NAME?</v>
      </c>
      <c r="D6" s="9" t="e">
        <f t="shared" ca="1" si="0"/>
        <v>#NAME?</v>
      </c>
      <c r="E6" t="s">
        <v>59</v>
      </c>
    </row>
    <row r="7" spans="1:5" x14ac:dyDescent="0.2">
      <c r="A7" s="8" t="s">
        <v>60</v>
      </c>
      <c r="B7" s="3">
        <v>0.1222383148211338</v>
      </c>
      <c r="C7" s="3" t="e">
        <f ca="1">TASA_CERO_CUPON(10,NSS_PARAMS)</f>
        <v>#NAME?</v>
      </c>
      <c r="D7" s="9" t="e">
        <f t="shared" ca="1" si="0"/>
        <v>#NAME?</v>
      </c>
      <c r="E7" t="s">
        <v>61</v>
      </c>
    </row>
    <row r="8" spans="1:5" x14ac:dyDescent="0.2">
      <c r="A8" s="8" t="s">
        <v>62</v>
      </c>
      <c r="B8" s="3">
        <v>0.55949177250833204</v>
      </c>
      <c r="C8" s="3" t="e">
        <f ca="1">FACTOR_DESCUENTO(5,NSS_PARAMS)</f>
        <v>#NAME?</v>
      </c>
      <c r="D8" s="9" t="e">
        <f t="shared" ca="1" si="0"/>
        <v>#NAME?</v>
      </c>
      <c r="E8" t="s">
        <v>63</v>
      </c>
    </row>
    <row r="9" spans="1:5" x14ac:dyDescent="0.2">
      <c r="A9" s="8" t="s">
        <v>64</v>
      </c>
      <c r="B9" s="3">
        <v>0.1229557468984175</v>
      </c>
      <c r="C9" s="3" t="e">
        <f ca="1">TASA_FORWARD(1,5,NSS_PARAMS)</f>
        <v>#NAME?</v>
      </c>
      <c r="D9" s="9" t="e">
        <f t="shared" ca="1" si="0"/>
        <v>#NAME?</v>
      </c>
      <c r="E9" t="s">
        <v>65</v>
      </c>
    </row>
    <row r="10" spans="1:5" x14ac:dyDescent="0.2">
      <c r="A10" s="8" t="s">
        <v>66</v>
      </c>
      <c r="B10" s="3">
        <v>104.3267802094234</v>
      </c>
      <c r="C10" s="3" t="e">
        <f ca="1">VP_TES(0.1325,7,1,100,NSS_PARAMS)</f>
        <v>#NAME?</v>
      </c>
      <c r="D10" s="9" t="e">
        <f t="shared" ca="1" si="0"/>
        <v>#NAME?</v>
      </c>
      <c r="E10" t="s">
        <v>67</v>
      </c>
    </row>
    <row r="11" spans="1:5" x14ac:dyDescent="0.2">
      <c r="A11" s="8" t="s">
        <v>68</v>
      </c>
      <c r="B11" s="3">
        <v>4.6614963234617328E-2</v>
      </c>
      <c r="C11" s="3" t="e">
        <f ca="1">DV01_TES(0.1325,7,1,100,NSS_PARAMS)</f>
        <v>#NAME?</v>
      </c>
      <c r="D11" s="9" t="e">
        <f t="shared" ca="1" si="0"/>
        <v>#NAME?</v>
      </c>
      <c r="E11" t="s">
        <v>69</v>
      </c>
    </row>
    <row r="12" spans="1:5" x14ac:dyDescent="0.2">
      <c r="A12" s="8" t="s">
        <v>70</v>
      </c>
      <c r="B12" s="3">
        <v>4.4681684933670356</v>
      </c>
      <c r="C12" s="3" t="e">
        <f ca="1">DURACION_MOD_TES(0.1325,7,1,100,NSS_PARAMS)</f>
        <v>#NAME?</v>
      </c>
      <c r="D12" s="9" t="e">
        <f t="shared" ca="1" si="0"/>
        <v>#NAME?</v>
      </c>
      <c r="E12" t="s">
        <v>71</v>
      </c>
    </row>
    <row r="13" spans="1:5" x14ac:dyDescent="0.2">
      <c r="A13" s="8" t="s">
        <v>72</v>
      </c>
      <c r="B13" s="3">
        <v>3112.5879242292549</v>
      </c>
      <c r="C13" s="3" t="e">
        <f ca="1">FORWARD_USDCOP(TRM_SPOT,90,SOFR_ACTUAL,,NSS_PARAMS)</f>
        <v>#NAME?</v>
      </c>
      <c r="D13" s="9" t="e">
        <f t="shared" ca="1" si="0"/>
        <v>#NAME?</v>
      </c>
      <c r="E13" t="s">
        <v>73</v>
      </c>
    </row>
    <row r="14" spans="1:5" x14ac:dyDescent="0.2">
      <c r="A14" s="8" t="s">
        <v>74</v>
      </c>
      <c r="B14" s="3">
        <v>6.8438970285750869E-2</v>
      </c>
      <c r="C14" s="3" t="e">
        <f ca="1">DV01_COP_FWD(TRM_SPOT,90,SOFR_ACTUAL,,NSS_PARAMS)</f>
        <v>#NAME?</v>
      </c>
      <c r="D14" s="9" t="e">
        <f t="shared" ca="1" si="0"/>
        <v>#NAME?</v>
      </c>
      <c r="E14" t="s">
        <v>75</v>
      </c>
    </row>
    <row r="15" spans="1:5" x14ac:dyDescent="0.2">
      <c r="A15" s="8" t="s">
        <v>76</v>
      </c>
      <c r="B15" s="3">
        <v>3174.80291891459</v>
      </c>
      <c r="C15" s="3" t="e">
        <f ca="1">FORWARD_USDCOP(TRM_SPOT,180,SOFR_ACTUAL,,NSS_PARAMS)</f>
        <v>#NAME?</v>
      </c>
      <c r="D15" s="9" t="e">
        <f t="shared" ca="1" si="0"/>
        <v>#NAME?</v>
      </c>
      <c r="E15" t="s">
        <v>77</v>
      </c>
    </row>
    <row r="16" spans="1:5" x14ac:dyDescent="0.2">
      <c r="A16" s="8" t="s">
        <v>78</v>
      </c>
      <c r="B16" s="3">
        <v>0.13946202485003939</v>
      </c>
      <c r="C16" s="3" t="e">
        <f ca="1">DV01_COP_FWD(TRM_SPOT,180,SOFR_ACTUAL,,NSS_PARAMS)</f>
        <v>#NAME?</v>
      </c>
      <c r="D16" s="9" t="e">
        <f t="shared" ca="1" si="0"/>
        <v>#NAME?</v>
      </c>
      <c r="E16" t="s">
        <v>79</v>
      </c>
    </row>
    <row r="17" spans="1:5" x14ac:dyDescent="0.2">
      <c r="A17" s="8" t="s">
        <v>80</v>
      </c>
      <c r="B17" s="3">
        <v>3305.8115187815602</v>
      </c>
      <c r="C17" s="3" t="e">
        <f ca="1">FORWARD_USDCOP(TRM_SPOT,360,SOFR_ACTUAL,,NSS_PARAMS)</f>
        <v>#NAME?</v>
      </c>
      <c r="D17" s="9" t="e">
        <f t="shared" ca="1" si="0"/>
        <v>#NAME?</v>
      </c>
      <c r="E17" t="s">
        <v>81</v>
      </c>
    </row>
    <row r="18" spans="1:5" x14ac:dyDescent="0.2">
      <c r="A18" s="8" t="s">
        <v>82</v>
      </c>
      <c r="B18" s="3">
        <v>0.29009499673117611</v>
      </c>
      <c r="C18" s="3" t="e">
        <f ca="1">DV01_COP_FWD(TRM_SPOT,360,SOFR_ACTUAL,,NSS_PARAMS)</f>
        <v>#NAME?</v>
      </c>
      <c r="D18" s="9" t="e">
        <f t="shared" ca="1" si="0"/>
        <v>#NAME?</v>
      </c>
      <c r="E18" t="s">
        <v>83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Parametros</vt:lpstr>
      <vt:lpstr>Nodos</vt:lpstr>
      <vt:lpstr>Curva</vt:lpstr>
      <vt:lpstr>Forwards</vt:lpstr>
      <vt:lpstr>Validacion</vt:lpstr>
      <vt:lpstr>CURVA_FECHA</vt:lpstr>
      <vt:lpstr>NSS_PARAMS</vt:lpstr>
      <vt:lpstr>SOFR_ACTUAL</vt:lpstr>
      <vt:lpstr>TRM_SPOT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Carlos David Suarez Munoz</cp:lastModifiedBy>
  <dcterms:created xsi:type="dcterms:W3CDTF">2026-08-20T05:29:45Z</dcterms:created>
  <dcterms:modified xsi:type="dcterms:W3CDTF">2026-08-20T06:26:06Z</dcterms:modified>
</cp:coreProperties>
</file>